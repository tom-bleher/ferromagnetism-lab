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tomble/Desktop/coursework/lab/experiment/data/"/>
    </mc:Choice>
  </mc:AlternateContent>
  <xr:revisionPtr revIDLastSave="0" documentId="13_ncr:1_{C930945D-3C5C-D041-97BA-E5ACACFC34FB}" xr6:coauthVersionLast="47" xr6:coauthVersionMax="47" xr10:uidLastSave="{00000000-0000-0000-0000-000000000000}"/>
  <bookViews>
    <workbookView xWindow="0" yWindow="660" windowWidth="30240" windowHeight="18980" activeTab="3" xr2:uid="{00000000-000D-0000-FFFF-FFFF00000000}"/>
  </bookViews>
  <sheets>
    <sheet name="apparatus" sheetId="1" r:id="rId1"/>
    <sheet name="virgin-curve" sheetId="2" r:id="rId2"/>
    <sheet name="vacuum-permeability-a" sheetId="3" r:id="rId3"/>
    <sheet name="vacuum-permeability-b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4" l="1"/>
  <c r="F7" i="4"/>
  <c r="C7" i="4"/>
  <c r="G6" i="4"/>
  <c r="F6" i="4"/>
  <c r="C6" i="4"/>
  <c r="G5" i="4"/>
  <c r="F5" i="4"/>
  <c r="C5" i="4"/>
  <c r="G4" i="4"/>
  <c r="F4" i="4"/>
  <c r="C4" i="4"/>
  <c r="G3" i="4"/>
  <c r="F3" i="4"/>
  <c r="C3" i="4"/>
  <c r="G2" i="4"/>
  <c r="F2" i="4"/>
  <c r="C2" i="4"/>
  <c r="G5" i="3"/>
  <c r="F5" i="3"/>
  <c r="C5" i="3"/>
  <c r="G4" i="3"/>
  <c r="F4" i="3"/>
  <c r="C4" i="3"/>
  <c r="G3" i="3"/>
  <c r="F3" i="3"/>
  <c r="C3" i="3"/>
  <c r="G2" i="3"/>
  <c r="F2" i="3"/>
  <c r="C2" i="3"/>
  <c r="D14" i="2"/>
  <c r="E14" i="2" s="1"/>
  <c r="F14" i="2" s="1"/>
  <c r="C14" i="2"/>
  <c r="D13" i="2"/>
  <c r="E13" i="2" s="1"/>
  <c r="F13" i="2" s="1"/>
  <c r="C13" i="2"/>
  <c r="E12" i="2"/>
  <c r="F12" i="2" s="1"/>
  <c r="D12" i="2"/>
  <c r="C12" i="2"/>
  <c r="D11" i="2"/>
  <c r="E11" i="2" s="1"/>
  <c r="F11" i="2" s="1"/>
  <c r="C11" i="2"/>
  <c r="D10" i="2"/>
  <c r="E10" i="2" s="1"/>
  <c r="F10" i="2" s="1"/>
  <c r="C10" i="2"/>
  <c r="D9" i="2"/>
  <c r="E9" i="2" s="1"/>
  <c r="F9" i="2" s="1"/>
  <c r="C9" i="2"/>
  <c r="D8" i="2"/>
  <c r="E8" i="2" s="1"/>
  <c r="F8" i="2" s="1"/>
  <c r="C8" i="2"/>
  <c r="E7" i="2"/>
  <c r="F7" i="2" s="1"/>
  <c r="D7" i="2"/>
  <c r="C7" i="2"/>
  <c r="D6" i="2"/>
  <c r="E6" i="2" s="1"/>
  <c r="F6" i="2" s="1"/>
  <c r="C6" i="2"/>
  <c r="D5" i="2"/>
  <c r="E5" i="2" s="1"/>
  <c r="F5" i="2" s="1"/>
  <c r="C5" i="2"/>
  <c r="D4" i="2"/>
  <c r="E4" i="2" s="1"/>
  <c r="F4" i="2" s="1"/>
  <c r="C4" i="2"/>
  <c r="D3" i="2"/>
  <c r="E3" i="2" s="1"/>
  <c r="F3" i="2" s="1"/>
  <c r="C3" i="2"/>
  <c r="E2" i="2"/>
  <c r="F2" i="2" s="1"/>
  <c r="D2" i="2"/>
  <c r="C2" i="2"/>
</calcChain>
</file>

<file path=xl/sharedStrings.xml><?xml version="1.0" encoding="utf-8"?>
<sst xmlns="http://schemas.openxmlformats.org/spreadsheetml/2006/main" count="27" uniqueCount="17">
  <si>
    <t>N</t>
  </si>
  <si>
    <t>L (m)</t>
  </si>
  <si>
    <t>Rx (Ω)</t>
  </si>
  <si>
    <t>Ry (Ω)</t>
  </si>
  <si>
    <t>C (F)</t>
  </si>
  <si>
    <t>A (m²)</t>
  </si>
  <si>
    <t>μ₀ (T·m/A)</t>
  </si>
  <si>
    <t>ΔV_x (V)</t>
  </si>
  <si>
    <t>ΔV_y (V)</t>
  </si>
  <si>
    <t>H (A/m)</t>
  </si>
  <si>
    <t>B (T)</t>
  </si>
  <si>
    <t>μ (T·m/A)</t>
  </si>
  <si>
    <t>μ_rel</t>
  </si>
  <si>
    <t>plate count</t>
  </si>
  <si>
    <t>L' (mm)</t>
  </si>
  <si>
    <t>L' (m)</t>
  </si>
  <si>
    <t>I 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</si>
</sst>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11" fontId="0" fillId="0" borderId="0" xfId="0" applyNumberFormat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/>
  </sheetViews>
  <sheetFormatPr baseColWidth="10" defaultColWidth="8.83203125" defaultRowHeight="15" x14ac:dyDescent="0.2"/>
  <cols>
    <col min="1" max="1" width="6" customWidth="1"/>
    <col min="2" max="2" width="8" customWidth="1"/>
    <col min="3" max="4" width="9" customWidth="1"/>
    <col min="5" max="5" width="11" customWidth="1"/>
    <col min="6" max="6" width="9" customWidth="1"/>
    <col min="7" max="7" width="1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>
        <v>250</v>
      </c>
      <c r="B2">
        <v>0.48</v>
      </c>
      <c r="C2">
        <v>2.9990000000000001</v>
      </c>
      <c r="D2">
        <v>11100</v>
      </c>
      <c r="E2" s="2">
        <v>2.0100000000000001E-5</v>
      </c>
      <c r="F2">
        <v>1.6000000000000001E-3</v>
      </c>
      <c r="G2" s="2">
        <v>1.2566370612700001E-6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"/>
  <sheetViews>
    <sheetView workbookViewId="0"/>
  </sheetViews>
  <sheetFormatPr baseColWidth="10" defaultColWidth="8.83203125" defaultRowHeight="15" x14ac:dyDescent="0.2"/>
  <cols>
    <col min="1" max="4" width="11" customWidth="1"/>
    <col min="5" max="5" width="13" customWidth="1"/>
    <col min="6" max="6" width="10" customWidth="1"/>
  </cols>
  <sheetData>
    <row r="1" spans="1:6" x14ac:dyDescent="0.2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</row>
    <row r="2" spans="1:6" x14ac:dyDescent="0.2">
      <c r="A2">
        <v>0.8</v>
      </c>
      <c r="B2">
        <v>0.48749999999999999</v>
      </c>
      <c r="C2" s="3">
        <f>A2*apparatus!$A$2/(apparatus!$B$2*apparatus!$C$2)</f>
        <v>138.9352006224297</v>
      </c>
      <c r="D2" s="4">
        <f>B2*apparatus!$D$2*apparatus!$E$2/(apparatus!$A$2*apparatus!$F$2)</f>
        <v>0.27191531250000001</v>
      </c>
      <c r="E2" s="2">
        <f t="shared" ref="E2:E14" si="0">D2/C2</f>
        <v>1.95713765325E-3</v>
      </c>
      <c r="F2" s="3">
        <f>E2/apparatus!$G$2</f>
        <v>1557.4406593356798</v>
      </c>
    </row>
    <row r="3" spans="1:6" x14ac:dyDescent="0.2">
      <c r="A3">
        <v>1.175</v>
      </c>
      <c r="B3">
        <v>0.86250000000000004</v>
      </c>
      <c r="C3" s="3">
        <f>A3*apparatus!$A$2/(apparatus!$B$2*apparatus!$C$2)</f>
        <v>204.06107591419362</v>
      </c>
      <c r="D3" s="4">
        <f>B3*apparatus!$D$2*apparatus!$E$2/(apparatus!$A$2*apparatus!$F$2)</f>
        <v>0.48108093750000003</v>
      </c>
      <c r="E3" s="2">
        <f t="shared" si="0"/>
        <v>2.3575340634893619E-3</v>
      </c>
      <c r="F3" s="3">
        <f>E3/apparatus!$G$2</f>
        <v>1876.0659988069729</v>
      </c>
    </row>
    <row r="4" spans="1:6" x14ac:dyDescent="0.2">
      <c r="A4">
        <v>1.575</v>
      </c>
      <c r="B4">
        <v>1.28125</v>
      </c>
      <c r="C4" s="3">
        <f>A4*apparatus!$A$2/(apparatus!$B$2*apparatus!$C$2)</f>
        <v>273.5286762254085</v>
      </c>
      <c r="D4" s="4">
        <f>B4*apparatus!$D$2*apparatus!$E$2/(apparatus!$A$2*apparatus!$F$2)</f>
        <v>0.71464921874999998</v>
      </c>
      <c r="E4" s="2">
        <f t="shared" si="0"/>
        <v>2.6127030942857139E-3</v>
      </c>
      <c r="F4" s="3">
        <f>E4/apparatus!$G$2</f>
        <v>2079.1230617098204</v>
      </c>
    </row>
    <row r="5" spans="1:6" x14ac:dyDescent="0.2">
      <c r="A5">
        <v>1.925</v>
      </c>
      <c r="B5">
        <v>1.64375</v>
      </c>
      <c r="C5" s="3">
        <f>A5*apparatus!$A$2/(apparatus!$B$2*apparatus!$C$2)</f>
        <v>334.31282649772146</v>
      </c>
      <c r="D5" s="4">
        <f>B5*apparatus!$D$2*apparatus!$E$2/(apparatus!$A$2*apparatus!$F$2)</f>
        <v>0.91684265624999994</v>
      </c>
      <c r="E5" s="2">
        <f t="shared" si="0"/>
        <v>2.7424692790129867E-3</v>
      </c>
      <c r="F5" s="3">
        <f>E5/apparatus!$G$2</f>
        <v>2182.3877104510625</v>
      </c>
    </row>
    <row r="6" spans="1:6" x14ac:dyDescent="0.2">
      <c r="A6">
        <v>2.375</v>
      </c>
      <c r="B6">
        <v>2</v>
      </c>
      <c r="C6" s="3">
        <f>A6*apparatus!$A$2/(apparatus!$B$2*apparatus!$C$2)</f>
        <v>412.46387684783821</v>
      </c>
      <c r="D6" s="4">
        <f>B6*apparatus!$D$2*apparatus!$E$2/(apparatus!$A$2*apparatus!$F$2)</f>
        <v>1.11555</v>
      </c>
      <c r="E6" s="2">
        <f t="shared" si="0"/>
        <v>2.7046004816842105E-3</v>
      </c>
      <c r="F6" s="3">
        <f>E6/apparatus!$G$2</f>
        <v>2152.252679027984</v>
      </c>
    </row>
    <row r="7" spans="1:6" x14ac:dyDescent="0.2">
      <c r="A7">
        <v>2.95</v>
      </c>
      <c r="B7">
        <v>2.3875000000000002</v>
      </c>
      <c r="C7" s="3">
        <f>A7*apparatus!$A$2/(apparatus!$B$2*apparatus!$C$2)</f>
        <v>512.32355229520954</v>
      </c>
      <c r="D7" s="4">
        <f>B7*apparatus!$D$2*apparatus!$E$2/(apparatus!$A$2*apparatus!$F$2)</f>
        <v>1.3316878125000002</v>
      </c>
      <c r="E7" s="2">
        <f t="shared" si="0"/>
        <v>2.599310155728814E-3</v>
      </c>
      <c r="F7" s="3">
        <f>E7/apparatus!$G$2</f>
        <v>2068.4652998391302</v>
      </c>
    </row>
    <row r="8" spans="1:6" x14ac:dyDescent="0.2">
      <c r="A8">
        <v>3.7</v>
      </c>
      <c r="B8">
        <v>2.7625000000000002</v>
      </c>
      <c r="C8" s="3">
        <f>A8*apparatus!$A$2/(apparatus!$B$2*apparatus!$C$2)</f>
        <v>642.57530287873738</v>
      </c>
      <c r="D8" s="4">
        <f>B8*apparatus!$D$2*apparatus!$E$2/(apparatus!$A$2*apparatus!$F$2)</f>
        <v>1.5408534375</v>
      </c>
      <c r="E8" s="2">
        <f t="shared" si="0"/>
        <v>2.3979344220000001E-3</v>
      </c>
      <c r="F8" s="3">
        <f>E8/apparatus!$G$2</f>
        <v>1908.2155826094818</v>
      </c>
    </row>
    <row r="9" spans="1:6" x14ac:dyDescent="0.2">
      <c r="A9">
        <v>4.875</v>
      </c>
      <c r="B9">
        <v>3.125</v>
      </c>
      <c r="C9" s="3">
        <f>A9*apparatus!$A$2/(apparatus!$B$2*apparatus!$C$2)</f>
        <v>846.63637879293105</v>
      </c>
      <c r="D9" s="4">
        <f>B9*apparatus!$D$2*apparatus!$E$2/(apparatus!$A$2*apparatus!$F$2)</f>
        <v>1.7430468749999999</v>
      </c>
      <c r="E9" s="2">
        <f t="shared" si="0"/>
        <v>2.0587904307692306E-3</v>
      </c>
      <c r="F9" s="3">
        <f>E9/apparatus!$G$2</f>
        <v>1638.3333694523915</v>
      </c>
    </row>
    <row r="10" spans="1:6" x14ac:dyDescent="0.2">
      <c r="A10">
        <v>6.5</v>
      </c>
      <c r="B10">
        <v>3.46875</v>
      </c>
      <c r="C10" s="3">
        <f>A10*apparatus!$A$2/(apparatus!$B$2*apparatus!$C$2)</f>
        <v>1128.8485050572415</v>
      </c>
      <c r="D10" s="4">
        <f>B10*apparatus!$D$2*apparatus!$E$2/(apparatus!$A$2*apparatus!$F$2)</f>
        <v>1.9347820312499999</v>
      </c>
      <c r="E10" s="2">
        <f t="shared" si="0"/>
        <v>1.7139430336153842E-3</v>
      </c>
      <c r="F10" s="3">
        <f>E10/apparatus!$G$2</f>
        <v>1363.9125300691157</v>
      </c>
    </row>
    <row r="11" spans="1:6" x14ac:dyDescent="0.2">
      <c r="A11">
        <v>9.1</v>
      </c>
      <c r="B11">
        <v>3.7687499999999998</v>
      </c>
      <c r="C11" s="3">
        <f>A11*apparatus!$A$2/(apparatus!$B$2*apparatus!$C$2)</f>
        <v>1580.3879070801379</v>
      </c>
      <c r="D11" s="4">
        <f>B11*apparatus!$D$2*apparatus!$E$2/(apparatus!$A$2*apparatus!$F$2)</f>
        <v>2.1021145312499998</v>
      </c>
      <c r="E11" s="2">
        <f t="shared" si="0"/>
        <v>1.3301256747362635E-3</v>
      </c>
      <c r="F11" s="3">
        <f>E11/apparatus!$G$2</f>
        <v>1058.4803804783487</v>
      </c>
    </row>
    <row r="12" spans="1:6" x14ac:dyDescent="0.2">
      <c r="A12">
        <v>13.175000000000001</v>
      </c>
      <c r="B12">
        <v>4.0609999999999999</v>
      </c>
      <c r="C12" s="3">
        <f>A12*apparatus!$A$2/(apparatus!$B$2*apparatus!$C$2)</f>
        <v>2288.0890852506391</v>
      </c>
      <c r="D12" s="4">
        <f>B12*apparatus!$D$2*apparatus!$E$2/(apparatus!$A$2*apparatus!$F$2)</f>
        <v>2.2651242749999998</v>
      </c>
      <c r="E12" s="2">
        <f t="shared" si="0"/>
        <v>9.8996332336941171E-4</v>
      </c>
      <c r="F12" s="3">
        <f>E12/apparatus!$G$2</f>
        <v>787.78778207362529</v>
      </c>
    </row>
    <row r="13" spans="1:6" x14ac:dyDescent="0.2">
      <c r="A13">
        <v>19.065000000000001</v>
      </c>
      <c r="B13">
        <v>4.2702499999999999</v>
      </c>
      <c r="C13" s="3">
        <f>A13*apparatus!$A$2/(apparatus!$B$2*apparatus!$C$2)</f>
        <v>3310.9994998332782</v>
      </c>
      <c r="D13" s="4">
        <f>B13*apparatus!$D$2*apparatus!$E$2/(apparatus!$A$2*apparatus!$F$2)</f>
        <v>2.3818386937500002</v>
      </c>
      <c r="E13" s="2">
        <f t="shared" si="0"/>
        <v>7.1937150515121947E-4</v>
      </c>
      <c r="F13" s="3">
        <f>E13/apparatus!$G$2</f>
        <v>572.45765489695032</v>
      </c>
    </row>
    <row r="14" spans="1:6" x14ac:dyDescent="0.2">
      <c r="A14">
        <v>28.5975</v>
      </c>
      <c r="B14">
        <v>4.4562499999999998</v>
      </c>
      <c r="C14" s="3">
        <f>A14*apparatus!$A$2/(apparatus!$B$2*apparatus!$C$2)</f>
        <v>4966.499249749917</v>
      </c>
      <c r="D14" s="4">
        <f>B14*apparatus!$D$2*apparatus!$E$2/(apparatus!$A$2*apparatus!$F$2)</f>
        <v>2.4855848437499999</v>
      </c>
      <c r="E14" s="2">
        <f t="shared" si="0"/>
        <v>5.004701941463414E-4</v>
      </c>
      <c r="F14" s="3">
        <f>E14/apparatus!$G$2</f>
        <v>398.26152639533746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workbookViewId="0">
      <selection activeCell="G33" sqref="G33"/>
    </sheetView>
  </sheetViews>
  <sheetFormatPr baseColWidth="10" defaultColWidth="8.83203125" defaultRowHeight="15" x14ac:dyDescent="0.2"/>
  <cols>
    <col min="1" max="1" width="12" customWidth="1"/>
    <col min="2" max="2" width="10" customWidth="1"/>
    <col min="3" max="5" width="11" customWidth="1"/>
    <col min="6" max="7" width="10" customWidth="1"/>
  </cols>
  <sheetData>
    <row r="1" spans="1:7" x14ac:dyDescent="0.2">
      <c r="A1" s="1" t="s">
        <v>13</v>
      </c>
      <c r="B1" s="1" t="s">
        <v>14</v>
      </c>
      <c r="C1" s="1" t="s">
        <v>15</v>
      </c>
      <c r="D1" s="1" t="s">
        <v>7</v>
      </c>
      <c r="E1" s="1" t="s">
        <v>8</v>
      </c>
      <c r="F1" s="1" t="s">
        <v>16</v>
      </c>
      <c r="G1" s="1" t="s">
        <v>10</v>
      </c>
    </row>
    <row r="2" spans="1:7" x14ac:dyDescent="0.2">
      <c r="A2">
        <v>3</v>
      </c>
      <c r="B2">
        <v>0.35</v>
      </c>
      <c r="C2" s="5">
        <f>B2/1000</f>
        <v>3.5E-4</v>
      </c>
      <c r="D2">
        <v>17.631250000000001</v>
      </c>
      <c r="E2">
        <v>3.6735899999999999</v>
      </c>
      <c r="F2" s="4">
        <f>D2/apparatus!$C$2</f>
        <v>5.8790430143381132</v>
      </c>
      <c r="G2" s="4">
        <f>E2*apparatus!$D$2*apparatus!$E$2/(apparatus!$A$2*apparatus!$F$2)</f>
        <v>2.0490366622500003</v>
      </c>
    </row>
    <row r="3" spans="1:7" x14ac:dyDescent="0.2">
      <c r="A3">
        <v>2</v>
      </c>
      <c r="B3">
        <v>0.2</v>
      </c>
      <c r="C3" s="5">
        <f>B3/1000</f>
        <v>2.0000000000000001E-4</v>
      </c>
      <c r="D3">
        <v>14.647500000000001</v>
      </c>
      <c r="E3">
        <v>3.6735899999999999</v>
      </c>
      <c r="F3" s="4">
        <f>D3/apparatus!$C$2</f>
        <v>4.884128042680894</v>
      </c>
      <c r="G3" s="4">
        <f>E3*apparatus!$D$2*apparatus!$E$2/(apparatus!$A$2*apparatus!$F$2)</f>
        <v>2.0490366622500003</v>
      </c>
    </row>
    <row r="4" spans="1:7" x14ac:dyDescent="0.2">
      <c r="A4">
        <v>1</v>
      </c>
      <c r="B4">
        <v>0.1</v>
      </c>
      <c r="C4" s="5">
        <f>B4/1000</f>
        <v>1E-4</v>
      </c>
      <c r="D4">
        <v>11.35375</v>
      </c>
      <c r="E4">
        <v>3.6735899999999999</v>
      </c>
      <c r="F4" s="4">
        <f>D4/apparatus!$C$2</f>
        <v>3.7858452817605865</v>
      </c>
      <c r="G4" s="4">
        <f>E4*apparatus!$D$2*apparatus!$E$2/(apparatus!$A$2*apparatus!$F$2)</f>
        <v>2.0490366622500003</v>
      </c>
    </row>
    <row r="5" spans="1:7" x14ac:dyDescent="0.2">
      <c r="A5">
        <v>0</v>
      </c>
      <c r="B5">
        <v>0</v>
      </c>
      <c r="C5" s="5">
        <f>B5/1000</f>
        <v>0</v>
      </c>
      <c r="D5">
        <v>8.1762499999999996</v>
      </c>
      <c r="E5">
        <v>3.6735899999999999</v>
      </c>
      <c r="F5" s="4">
        <f>D5/apparatus!$C$2</f>
        <v>2.7263254418139375</v>
      </c>
      <c r="G5" s="4">
        <f>E5*apparatus!$D$2*apparatus!$E$2/(apparatus!$A$2*apparatus!$F$2)</f>
        <v>2.0490366622500003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"/>
  <sheetViews>
    <sheetView tabSelected="1" workbookViewId="0">
      <selection activeCell="P20" sqref="P20"/>
    </sheetView>
  </sheetViews>
  <sheetFormatPr baseColWidth="10" defaultColWidth="8.83203125" defaultRowHeight="15" x14ac:dyDescent="0.2"/>
  <cols>
    <col min="1" max="1" width="12" customWidth="1"/>
    <col min="2" max="2" width="10" customWidth="1"/>
    <col min="3" max="5" width="11" customWidth="1"/>
    <col min="6" max="7" width="10" customWidth="1"/>
  </cols>
  <sheetData>
    <row r="1" spans="1:7" x14ac:dyDescent="0.2">
      <c r="A1" s="1" t="s">
        <v>13</v>
      </c>
      <c r="B1" s="1" t="s">
        <v>14</v>
      </c>
      <c r="C1" s="1" t="s">
        <v>15</v>
      </c>
      <c r="D1" s="1" t="s">
        <v>7</v>
      </c>
      <c r="E1" s="1" t="s">
        <v>8</v>
      </c>
      <c r="F1" s="1" t="s">
        <v>16</v>
      </c>
      <c r="G1" s="1" t="s">
        <v>10</v>
      </c>
    </row>
    <row r="2" spans="1:7" x14ac:dyDescent="0.2">
      <c r="A2">
        <v>5</v>
      </c>
      <c r="B2">
        <v>0.5</v>
      </c>
      <c r="C2" s="5">
        <f t="shared" ref="C2:C7" si="0">B2/1000</f>
        <v>5.0000000000000001E-4</v>
      </c>
      <c r="D2">
        <v>16.12</v>
      </c>
      <c r="E2">
        <v>2.8304999999999998</v>
      </c>
      <c r="F2" s="4">
        <f>D2/apparatus!$C$2</f>
        <v>5.37512504168056</v>
      </c>
      <c r="G2" s="4">
        <f>E2*apparatus!$D$2*apparatus!$E$2/(apparatus!$A$2*apparatus!$F$2)</f>
        <v>1.5787821375</v>
      </c>
    </row>
    <row r="3" spans="1:7" x14ac:dyDescent="0.2">
      <c r="A3">
        <v>4</v>
      </c>
      <c r="B3">
        <v>0.45</v>
      </c>
      <c r="C3" s="5">
        <f t="shared" si="0"/>
        <v>4.4999999999999999E-4</v>
      </c>
      <c r="D3">
        <v>14.0275</v>
      </c>
      <c r="E3">
        <v>2.8304999999999998</v>
      </c>
      <c r="F3" s="4">
        <f>D3/apparatus!$C$2</f>
        <v>4.6773924641547184</v>
      </c>
      <c r="G3" s="4">
        <f>E3*apparatus!$D$2*apparatus!$E$2/(apparatus!$A$2*apparatus!$F$2)</f>
        <v>1.5787821375</v>
      </c>
    </row>
    <row r="4" spans="1:7" x14ac:dyDescent="0.2">
      <c r="A4">
        <v>3</v>
      </c>
      <c r="B4">
        <v>0.35</v>
      </c>
      <c r="C4" s="5">
        <f t="shared" si="0"/>
        <v>3.5E-4</v>
      </c>
      <c r="D4">
        <v>11.66375</v>
      </c>
      <c r="E4">
        <v>2.8304999999999998</v>
      </c>
      <c r="F4" s="4">
        <f>D4/apparatus!$C$2</f>
        <v>3.8892130710236743</v>
      </c>
      <c r="G4" s="4">
        <f>E4*apparatus!$D$2*apparatus!$E$2/(apparatus!$A$2*apparatus!$F$2)</f>
        <v>1.5787821375</v>
      </c>
    </row>
    <row r="5" spans="1:7" x14ac:dyDescent="0.2">
      <c r="A5">
        <v>2</v>
      </c>
      <c r="B5">
        <v>0.2</v>
      </c>
      <c r="C5" s="5">
        <f t="shared" si="0"/>
        <v>2.0000000000000001E-4</v>
      </c>
      <c r="D5">
        <v>9.0675000000000008</v>
      </c>
      <c r="E5">
        <v>2.8304999999999998</v>
      </c>
      <c r="F5" s="4">
        <f>D5/apparatus!$C$2</f>
        <v>3.0235078359453151</v>
      </c>
      <c r="G5" s="4">
        <f>E5*apparatus!$D$2*apparatus!$E$2/(apparatus!$A$2*apparatus!$F$2)</f>
        <v>1.5787821375</v>
      </c>
    </row>
    <row r="6" spans="1:7" x14ac:dyDescent="0.2">
      <c r="A6">
        <v>1</v>
      </c>
      <c r="B6">
        <v>0.1</v>
      </c>
      <c r="C6" s="5">
        <f t="shared" si="0"/>
        <v>1E-4</v>
      </c>
      <c r="D6">
        <v>6.5487500000000001</v>
      </c>
      <c r="E6">
        <v>2.8304999999999998</v>
      </c>
      <c r="F6" s="4">
        <f>D6/apparatus!$C$2</f>
        <v>2.1836445481827274</v>
      </c>
      <c r="G6" s="4">
        <f>E6*apparatus!$D$2*apparatus!$E$2/(apparatus!$A$2*apparatus!$F$2)</f>
        <v>1.5787821375</v>
      </c>
    </row>
    <row r="7" spans="1:7" x14ac:dyDescent="0.2">
      <c r="A7">
        <v>0</v>
      </c>
      <c r="B7">
        <v>0</v>
      </c>
      <c r="C7" s="5">
        <f t="shared" si="0"/>
        <v>0</v>
      </c>
      <c r="D7">
        <v>4.0687499999999996</v>
      </c>
      <c r="E7">
        <v>2.8304999999999998</v>
      </c>
      <c r="F7" s="4">
        <f>D7/apparatus!$C$2</f>
        <v>1.3567022340780259</v>
      </c>
      <c r="G7" s="4">
        <f>E7*apparatus!$D$2*apparatus!$E$2/(apparatus!$A$2*apparatus!$F$2)</f>
        <v>1.5787821375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apparatus</vt:lpstr>
      <vt:lpstr>virgin-curve</vt:lpstr>
      <vt:lpstr>vacuum-permeability-a</vt:lpstr>
      <vt:lpstr>vacuum-permeability-b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 Bleher</cp:lastModifiedBy>
  <dcterms:created xsi:type="dcterms:W3CDTF">2026-04-20T12:29:23Z</dcterms:created>
  <dcterms:modified xsi:type="dcterms:W3CDTF">2026-04-20T12:36:02Z</dcterms:modified>
</cp:coreProperties>
</file>